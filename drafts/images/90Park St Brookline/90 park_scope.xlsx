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evo\OneDrive\Desktop\BOSTON DOOR &amp; Co\90Park St Brookline\"/>
    </mc:Choice>
  </mc:AlternateContent>
  <xr:revisionPtr revIDLastSave="0" documentId="13_ncr:1_{7A9C4ACA-D206-4143-9547-A52F0D23FF93}" xr6:coauthVersionLast="47" xr6:coauthVersionMax="47" xr10:uidLastSave="{00000000-0000-0000-0000-000000000000}"/>
  <bookViews>
    <workbookView xWindow="3343" yWindow="1209" windowWidth="18514" windowHeight="10740" activeTab="2" xr2:uid="{A6D9EAA4-2F47-4797-9086-C5FDC62BD233}"/>
  </bookViews>
  <sheets>
    <sheet name="hingecloser " sheetId="1" r:id="rId1"/>
    <sheet name="fnish maint" sheetId="2" r:id="rId2"/>
    <sheet name="topcoa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D9" i="3"/>
  <c r="E9" i="3" s="1"/>
  <c r="E20" i="3" s="1"/>
  <c r="E23" i="2"/>
  <c r="D12" i="2"/>
  <c r="E12" i="2" s="1"/>
  <c r="D22" i="2"/>
  <c r="C13" i="1"/>
  <c r="C9" i="1"/>
</calcChain>
</file>

<file path=xl/sharedStrings.xml><?xml version="1.0" encoding="utf-8"?>
<sst xmlns="http://schemas.openxmlformats.org/spreadsheetml/2006/main" count="54" uniqueCount="38">
  <si>
    <t xml:space="preserve">Scope of Work </t>
  </si>
  <si>
    <t xml:space="preserve">90 Park Street  Brookline </t>
  </si>
  <si>
    <t>replace the hinges</t>
  </si>
  <si>
    <t xml:space="preserve">replace a closer </t>
  </si>
  <si>
    <t>topcoat the threshold</t>
  </si>
  <si>
    <t>hinges (6)</t>
  </si>
  <si>
    <t>closer</t>
  </si>
  <si>
    <t xml:space="preserve">materials and supplies </t>
  </si>
  <si>
    <t>total</t>
  </si>
  <si>
    <t xml:space="preserve">Fix any problems with the door </t>
  </si>
  <si>
    <t>make the door adjustment if necessary</t>
  </si>
  <si>
    <t xml:space="preserve">Topcoat the vestibule door , and the  surrounding woodwork </t>
  </si>
  <si>
    <t xml:space="preserve">set up </t>
  </si>
  <si>
    <t>tarps</t>
  </si>
  <si>
    <t>tape</t>
  </si>
  <si>
    <t>chemicals</t>
  </si>
  <si>
    <t>mix cups</t>
  </si>
  <si>
    <t>rags</t>
  </si>
  <si>
    <t xml:space="preserve">test area to select materials </t>
  </si>
  <si>
    <t xml:space="preserve">scope of work </t>
  </si>
  <si>
    <t xml:space="preserve">** </t>
  </si>
  <si>
    <t xml:space="preserve">current topcoat on the door is very close to pealing off, and may need to be removed before topcoating the door </t>
  </si>
  <si>
    <t xml:space="preserve">mechanically prepare rest of the surface </t>
  </si>
  <si>
    <t xml:space="preserve">Prep and topcoat the threshold on the main door </t>
  </si>
  <si>
    <t xml:space="preserve">finish </t>
  </si>
  <si>
    <t xml:space="preserve">miscaleneous </t>
  </si>
  <si>
    <t>safety</t>
  </si>
  <si>
    <t>total estimate</t>
  </si>
  <si>
    <t xml:space="preserve">days </t>
  </si>
  <si>
    <t>$</t>
  </si>
  <si>
    <t>Prep the Door and the Surrounding woodwork for maintenance topcoat and partial refinish</t>
  </si>
  <si>
    <t>the door may need to be completely  stripped**</t>
  </si>
  <si>
    <t xml:space="preserve">some of the woodwork may need to be stripped </t>
  </si>
  <si>
    <t xml:space="preserve">Prep the Door and the Surrounding woodwork for maintenance topcoat </t>
  </si>
  <si>
    <t xml:space="preserve">mechanically prepare the surface </t>
  </si>
  <si>
    <t>color match any repairs to prepare for topcoat</t>
  </si>
  <si>
    <t>Topcoat the vestibule door, and the  surrounding woodwork (matt clear finish)</t>
  </si>
  <si>
    <t>clean the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</si>
</sst>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44" fontId="0" fillId="0" borderId="8" xfId="0" applyNumberFormat="1" applyBorder="1"/>
    <xf numFmtId="44" fontId="0" fillId="0" borderId="2" xfId="0" applyNumberFormat="1" applyBorder="1"/>
    <xf numFmtId="44" fontId="0" fillId="0" borderId="13" xfId="0" applyNumberFormat="1" applyBorder="1"/>
    <xf numFmtId="44" fontId="0" fillId="0" borderId="3" xfId="0" applyNumberFormat="1" applyBorder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F555-B9AF-4562-8853-534600970E52}">
  <dimension ref="A1:C13"/>
  <sheetViews>
    <sheetView workbookViewId="0">
      <selection activeCell="A15" sqref="A15:A28"/>
    </sheetView>
  </sheetViews>
  <sheetFormatPr defaultRowHeight="14.6" x14ac:dyDescent="0.4"/>
  <cols>
    <col min="1" max="1" width="29.84375" customWidth="1"/>
    <col min="2" max="2" width="7.765625" customWidth="1"/>
    <col min="3" max="3" width="11" customWidth="1"/>
  </cols>
  <sheetData>
    <row r="1" spans="1:3" x14ac:dyDescent="0.4">
      <c r="A1" t="s">
        <v>1</v>
      </c>
    </row>
    <row r="2" spans="1:3" x14ac:dyDescent="0.4">
      <c r="A2" t="s">
        <v>0</v>
      </c>
    </row>
    <row r="4" spans="1:3" x14ac:dyDescent="0.4">
      <c r="A4" t="s">
        <v>2</v>
      </c>
      <c r="C4">
        <v>1000</v>
      </c>
    </row>
    <row r="5" spans="1:3" x14ac:dyDescent="0.4">
      <c r="A5" t="s">
        <v>3</v>
      </c>
      <c r="C5">
        <v>450</v>
      </c>
    </row>
    <row r="6" spans="1:3" x14ac:dyDescent="0.4">
      <c r="A6" t="s">
        <v>4</v>
      </c>
      <c r="C6">
        <v>450</v>
      </c>
    </row>
    <row r="9" spans="1:3" x14ac:dyDescent="0.4">
      <c r="A9" t="s">
        <v>5</v>
      </c>
      <c r="B9">
        <v>160</v>
      </c>
      <c r="C9">
        <f>B9*6</f>
        <v>960</v>
      </c>
    </row>
    <row r="10" spans="1:3" x14ac:dyDescent="0.4">
      <c r="A10" t="s">
        <v>6</v>
      </c>
      <c r="C10">
        <v>770</v>
      </c>
    </row>
    <row r="11" spans="1:3" x14ac:dyDescent="0.4">
      <c r="A11" t="s">
        <v>7</v>
      </c>
      <c r="C11">
        <v>120</v>
      </c>
    </row>
    <row r="13" spans="1:3" x14ac:dyDescent="0.4">
      <c r="A13" t="s">
        <v>8</v>
      </c>
      <c r="C13">
        <f>SUM(C3:C12)</f>
        <v>3750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8502-448C-426E-AE18-49B84DCA84C9}">
  <dimension ref="A1:E25"/>
  <sheetViews>
    <sheetView workbookViewId="0">
      <selection activeCell="C7" sqref="C7"/>
    </sheetView>
  </sheetViews>
  <sheetFormatPr defaultRowHeight="14.6" x14ac:dyDescent="0.4"/>
  <cols>
    <col min="1" max="1" width="3.921875" customWidth="1"/>
    <col min="3" max="3" width="63.15234375" customWidth="1"/>
    <col min="4" max="4" width="4.61328125" style="2" customWidth="1"/>
    <col min="5" max="5" width="10.15234375" style="14" bestFit="1" customWidth="1"/>
  </cols>
  <sheetData>
    <row r="1" spans="1:5" s="6" customFormat="1" x14ac:dyDescent="0.4">
      <c r="A1" s="3" t="s">
        <v>19</v>
      </c>
      <c r="B1" s="4"/>
      <c r="C1" s="4"/>
      <c r="D1" s="5" t="s">
        <v>28</v>
      </c>
      <c r="E1" s="11" t="s">
        <v>29</v>
      </c>
    </row>
    <row r="2" spans="1:5" x14ac:dyDescent="0.4">
      <c r="A2" s="1"/>
      <c r="B2" t="s">
        <v>12</v>
      </c>
      <c r="D2" s="2">
        <v>0.5</v>
      </c>
      <c r="E2" s="12"/>
    </row>
    <row r="3" spans="1:5" x14ac:dyDescent="0.4">
      <c r="A3" s="1"/>
      <c r="B3" t="s">
        <v>18</v>
      </c>
      <c r="D3" s="2">
        <v>0.5</v>
      </c>
      <c r="E3" s="12"/>
    </row>
    <row r="4" spans="1:5" x14ac:dyDescent="0.4">
      <c r="A4" s="1"/>
      <c r="B4" t="s">
        <v>9</v>
      </c>
      <c r="D4" s="2">
        <v>0.5</v>
      </c>
      <c r="E4" s="12"/>
    </row>
    <row r="5" spans="1:5" x14ac:dyDescent="0.4">
      <c r="A5" s="1"/>
      <c r="B5" t="s">
        <v>30</v>
      </c>
      <c r="E5" s="12"/>
    </row>
    <row r="6" spans="1:5" x14ac:dyDescent="0.4">
      <c r="A6" s="1"/>
      <c r="C6" t="s">
        <v>31</v>
      </c>
      <c r="D6" s="2">
        <v>2</v>
      </c>
      <c r="E6" s="12"/>
    </row>
    <row r="7" spans="1:5" x14ac:dyDescent="0.4">
      <c r="A7" s="1"/>
      <c r="C7" t="s">
        <v>32</v>
      </c>
      <c r="D7" s="2">
        <v>1</v>
      </c>
      <c r="E7" s="12"/>
    </row>
    <row r="8" spans="1:5" x14ac:dyDescent="0.4">
      <c r="A8" s="1"/>
      <c r="C8" t="s">
        <v>22</v>
      </c>
      <c r="D8" s="2">
        <v>1</v>
      </c>
      <c r="E8" s="12"/>
    </row>
    <row r="9" spans="1:5" x14ac:dyDescent="0.4">
      <c r="A9" s="1"/>
      <c r="B9" t="s">
        <v>10</v>
      </c>
      <c r="D9" s="2">
        <v>0.5</v>
      </c>
      <c r="E9" s="12"/>
    </row>
    <row r="10" spans="1:5" x14ac:dyDescent="0.4">
      <c r="A10" s="1"/>
      <c r="B10" t="s">
        <v>11</v>
      </c>
      <c r="D10" s="2">
        <v>1.5</v>
      </c>
      <c r="E10" s="12"/>
    </row>
    <row r="11" spans="1:5" x14ac:dyDescent="0.4">
      <c r="A11" s="1"/>
      <c r="B11" t="s">
        <v>23</v>
      </c>
      <c r="D11" s="2">
        <v>0.5</v>
      </c>
      <c r="E11" s="12"/>
    </row>
    <row r="12" spans="1:5" x14ac:dyDescent="0.4">
      <c r="A12" s="1"/>
      <c r="D12" s="2">
        <f>SUM(D2:D11)</f>
        <v>8</v>
      </c>
      <c r="E12" s="12">
        <f>D12*880</f>
        <v>7040</v>
      </c>
    </row>
    <row r="13" spans="1:5" x14ac:dyDescent="0.4">
      <c r="A13" s="1"/>
      <c r="B13" t="s">
        <v>7</v>
      </c>
      <c r="E13" s="12">
        <v>800</v>
      </c>
    </row>
    <row r="14" spans="1:5" hidden="1" x14ac:dyDescent="0.4">
      <c r="A14" s="1"/>
      <c r="C14" t="s">
        <v>13</v>
      </c>
      <c r="D14" s="2">
        <v>100</v>
      </c>
      <c r="E14" s="12"/>
    </row>
    <row r="15" spans="1:5" hidden="1" x14ac:dyDescent="0.4">
      <c r="A15" s="1"/>
      <c r="C15" t="s">
        <v>26</v>
      </c>
      <c r="D15" s="2">
        <v>100</v>
      </c>
      <c r="E15" s="12"/>
    </row>
    <row r="16" spans="1:5" hidden="1" x14ac:dyDescent="0.4">
      <c r="A16" s="1"/>
      <c r="C16" t="s">
        <v>14</v>
      </c>
      <c r="D16" s="2">
        <v>25</v>
      </c>
      <c r="E16" s="12"/>
    </row>
    <row r="17" spans="1:5" hidden="1" x14ac:dyDescent="0.4">
      <c r="A17" s="1"/>
      <c r="C17" t="s">
        <v>15</v>
      </c>
      <c r="D17" s="2">
        <v>120</v>
      </c>
      <c r="E17" s="12"/>
    </row>
    <row r="18" spans="1:5" hidden="1" x14ac:dyDescent="0.4">
      <c r="A18" s="1"/>
      <c r="C18" t="s">
        <v>16</v>
      </c>
      <c r="D18" s="2">
        <v>30</v>
      </c>
      <c r="E18" s="12"/>
    </row>
    <row r="19" spans="1:5" hidden="1" x14ac:dyDescent="0.4">
      <c r="A19" s="1"/>
      <c r="C19" t="s">
        <v>17</v>
      </c>
      <c r="D19" s="2">
        <v>40</v>
      </c>
      <c r="E19" s="12"/>
    </row>
    <row r="20" spans="1:5" hidden="1" x14ac:dyDescent="0.4">
      <c r="A20" s="1"/>
      <c r="C20" t="s">
        <v>24</v>
      </c>
      <c r="D20" s="2">
        <v>160</v>
      </c>
      <c r="E20" s="12"/>
    </row>
    <row r="21" spans="1:5" hidden="1" x14ac:dyDescent="0.4">
      <c r="A21" s="1"/>
      <c r="C21" t="s">
        <v>25</v>
      </c>
      <c r="D21" s="2">
        <v>200</v>
      </c>
      <c r="E21" s="12"/>
    </row>
    <row r="22" spans="1:5" hidden="1" x14ac:dyDescent="0.4">
      <c r="A22" s="1"/>
      <c r="D22" s="2">
        <f>SUM(D14:D21)</f>
        <v>775</v>
      </c>
      <c r="E22" s="12"/>
    </row>
    <row r="23" spans="1:5" s="10" customFormat="1" ht="15" thickBot="1" x14ac:dyDescent="0.45">
      <c r="A23" s="7"/>
      <c r="B23" s="8" t="s">
        <v>27</v>
      </c>
      <c r="C23" s="8"/>
      <c r="D23" s="9"/>
      <c r="E23" s="13">
        <f>SUM(E12:E22)</f>
        <v>7840</v>
      </c>
    </row>
    <row r="24" spans="1:5" x14ac:dyDescent="0.4">
      <c r="B24" t="s">
        <v>20</v>
      </c>
      <c r="C24" s="15" t="s">
        <v>21</v>
      </c>
    </row>
    <row r="25" spans="1:5" x14ac:dyDescent="0.4">
      <c r="C25" s="15"/>
    </row>
  </sheetData>
  <mergeCells count="1">
    <mergeCell ref="C24:C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24B3-99DB-433A-8E35-E266D2BC4F9F}">
  <dimension ref="A1:E22"/>
  <sheetViews>
    <sheetView tabSelected="1" workbookViewId="0">
      <selection activeCell="E28" sqref="E28"/>
    </sheetView>
  </sheetViews>
  <sheetFormatPr defaultRowHeight="14.6" x14ac:dyDescent="0.4"/>
  <cols>
    <col min="1" max="1" width="3.921875" customWidth="1"/>
    <col min="3" max="3" width="63.15234375" customWidth="1"/>
    <col min="4" max="4" width="4.61328125" style="2" customWidth="1"/>
    <col min="5" max="5" width="10.15234375" style="14" bestFit="1" customWidth="1"/>
  </cols>
  <sheetData>
    <row r="1" spans="1:5" s="6" customFormat="1" x14ac:dyDescent="0.4">
      <c r="A1" s="3" t="s">
        <v>19</v>
      </c>
      <c r="B1" s="4"/>
      <c r="C1" s="4"/>
      <c r="D1" s="5" t="s">
        <v>28</v>
      </c>
      <c r="E1" s="11" t="s">
        <v>29</v>
      </c>
    </row>
    <row r="2" spans="1:5" x14ac:dyDescent="0.4">
      <c r="A2" s="1"/>
      <c r="B2" t="s">
        <v>9</v>
      </c>
      <c r="D2" s="2">
        <v>0.5</v>
      </c>
      <c r="E2" s="12"/>
    </row>
    <row r="3" spans="1:5" x14ac:dyDescent="0.4">
      <c r="A3" s="1"/>
      <c r="B3" t="s">
        <v>35</v>
      </c>
      <c r="E3" s="12"/>
    </row>
    <row r="4" spans="1:5" x14ac:dyDescent="0.4">
      <c r="A4" s="1"/>
      <c r="B4" t="s">
        <v>33</v>
      </c>
      <c r="E4" s="12"/>
    </row>
    <row r="5" spans="1:5" x14ac:dyDescent="0.4">
      <c r="A5" s="1"/>
      <c r="C5" t="s">
        <v>37</v>
      </c>
      <c r="E5" s="12"/>
    </row>
    <row r="6" spans="1:5" x14ac:dyDescent="0.4">
      <c r="A6" s="1"/>
      <c r="C6" t="s">
        <v>34</v>
      </c>
      <c r="D6" s="2">
        <v>2</v>
      </c>
      <c r="E6" s="12"/>
    </row>
    <row r="7" spans="1:5" x14ac:dyDescent="0.4">
      <c r="A7" s="1"/>
      <c r="B7" t="s">
        <v>36</v>
      </c>
      <c r="D7" s="2">
        <v>1.5</v>
      </c>
      <c r="E7" s="12"/>
    </row>
    <row r="8" spans="1:5" x14ac:dyDescent="0.4">
      <c r="A8" s="1"/>
      <c r="B8" t="s">
        <v>23</v>
      </c>
      <c r="D8" s="2">
        <v>0.5</v>
      </c>
      <c r="E8" s="12"/>
    </row>
    <row r="9" spans="1:5" x14ac:dyDescent="0.4">
      <c r="A9" s="1"/>
      <c r="D9" s="2">
        <f>SUM(D2:D8)</f>
        <v>4.5</v>
      </c>
      <c r="E9" s="12">
        <f>D9*880</f>
        <v>3960</v>
      </c>
    </row>
    <row r="10" spans="1:5" x14ac:dyDescent="0.4">
      <c r="A10" s="1"/>
      <c r="B10" t="s">
        <v>7</v>
      </c>
      <c r="E10" s="12">
        <v>450</v>
      </c>
    </row>
    <row r="11" spans="1:5" hidden="1" x14ac:dyDescent="0.4">
      <c r="A11" s="1"/>
      <c r="C11" t="s">
        <v>13</v>
      </c>
      <c r="D11" s="2">
        <v>100</v>
      </c>
      <c r="E11" s="12"/>
    </row>
    <row r="12" spans="1:5" hidden="1" x14ac:dyDescent="0.4">
      <c r="A12" s="1"/>
      <c r="C12" t="s">
        <v>26</v>
      </c>
      <c r="D12" s="2">
        <v>100</v>
      </c>
      <c r="E12" s="12"/>
    </row>
    <row r="13" spans="1:5" hidden="1" x14ac:dyDescent="0.4">
      <c r="A13" s="1"/>
      <c r="C13" t="s">
        <v>14</v>
      </c>
      <c r="D13" s="2">
        <v>25</v>
      </c>
      <c r="E13" s="12"/>
    </row>
    <row r="14" spans="1:5" hidden="1" x14ac:dyDescent="0.4">
      <c r="A14" s="1"/>
      <c r="C14" t="s">
        <v>15</v>
      </c>
      <c r="D14" s="2">
        <v>120</v>
      </c>
      <c r="E14" s="12"/>
    </row>
    <row r="15" spans="1:5" hidden="1" x14ac:dyDescent="0.4">
      <c r="A15" s="1"/>
      <c r="C15" t="s">
        <v>16</v>
      </c>
      <c r="D15" s="2">
        <v>30</v>
      </c>
      <c r="E15" s="12"/>
    </row>
    <row r="16" spans="1:5" hidden="1" x14ac:dyDescent="0.4">
      <c r="A16" s="1"/>
      <c r="C16" t="s">
        <v>17</v>
      </c>
      <c r="D16" s="2">
        <v>40</v>
      </c>
      <c r="E16" s="12"/>
    </row>
    <row r="17" spans="1:5" hidden="1" x14ac:dyDescent="0.4">
      <c r="A17" s="1"/>
      <c r="C17" t="s">
        <v>24</v>
      </c>
      <c r="D17" s="2">
        <v>160</v>
      </c>
      <c r="E17" s="12"/>
    </row>
    <row r="18" spans="1:5" hidden="1" x14ac:dyDescent="0.4">
      <c r="A18" s="1"/>
      <c r="C18" t="s">
        <v>25</v>
      </c>
      <c r="D18" s="2">
        <v>200</v>
      </c>
      <c r="E18" s="12"/>
    </row>
    <row r="19" spans="1:5" hidden="1" x14ac:dyDescent="0.4">
      <c r="A19" s="1"/>
      <c r="D19" s="2">
        <f>SUM(D11:D18)</f>
        <v>775</v>
      </c>
      <c r="E19" s="12"/>
    </row>
    <row r="20" spans="1:5" s="10" customFormat="1" ht="15" thickBot="1" x14ac:dyDescent="0.45">
      <c r="A20" s="7"/>
      <c r="B20" s="8" t="s">
        <v>27</v>
      </c>
      <c r="C20" s="8"/>
      <c r="D20" s="9"/>
      <c r="E20" s="13">
        <f>SUM(E9:E19)</f>
        <v>4410</v>
      </c>
    </row>
    <row r="21" spans="1:5" x14ac:dyDescent="0.4">
      <c r="C21" s="15"/>
    </row>
    <row r="22" spans="1:5" x14ac:dyDescent="0.4">
      <c r="C22" s="15"/>
    </row>
  </sheetData>
  <mergeCells count="1">
    <mergeCell ref="C21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hingecloser </vt:lpstr>
      <vt:lpstr>fnish maint</vt:lpstr>
      <vt:lpstr>topcoat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Vsevolod Tsodokov</dc:creator>
  <cp:lastModifiedBy>Vsevolod Tsodokov</cp:lastModifiedBy>
  <dcterms:created xsi:type="dcterms:W3CDTF">2024-12-19T17:17:00Z</dcterms:created>
  <dcterms:modified xsi:type="dcterms:W3CDTF">2025-03-17T16:01:34Z</dcterms:modified>
</cp:coreProperties>
</file>